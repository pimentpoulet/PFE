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L\Session 8 H2026\PFE\Notes\"/>
    </mc:Choice>
  </mc:AlternateContent>
  <xr:revisionPtr revIDLastSave="0" documentId="8_{1DC8427F-E66E-472A-A1EE-5CC3590A2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e consommation énergie 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19" i="1"/>
  <c r="E18" i="1"/>
  <c r="E10" i="1"/>
  <c r="F5" i="1"/>
  <c r="F6" i="1"/>
  <c r="F7" i="1"/>
  <c r="F8" i="1"/>
  <c r="F4" i="1"/>
  <c r="E11" i="1" l="1"/>
  <c r="E15" i="1"/>
  <c r="E16" i="1" s="1"/>
</calcChain>
</file>

<file path=xl/sharedStrings.xml><?xml version="1.0" encoding="utf-8"?>
<sst xmlns="http://schemas.openxmlformats.org/spreadsheetml/2006/main" count="37" uniqueCount="35">
  <si>
    <t>Étape</t>
  </si>
  <si>
    <t>Durée</t>
  </si>
  <si>
    <t>Élément Actif</t>
  </si>
  <si>
    <t>Courant Estimé</t>
  </si>
  <si>
    <t>Rôle / Justification</t>
  </si>
  <si>
    <t>Réveil &amp; Init</t>
  </si>
  <si>
    <t>ESP32-S3</t>
  </si>
  <si>
    <t>Préchauffage Capteur</t>
  </si>
  <si>
    <t>ESP32 + SCD41</t>
  </si>
  <si>
    <t>Mesure (Single Shot)</t>
  </si>
  <si>
    <t>Envoi LoRa</t>
  </si>
  <si>
    <t>Radio SX1262</t>
  </si>
  <si>
    <t>Deep Sleep</t>
  </si>
  <si>
    <t>ESP32 (RTC)</t>
  </si>
  <si>
    <t>Total</t>
  </si>
  <si>
    <t>mAh</t>
  </si>
  <si>
    <t>mAh consommés</t>
  </si>
  <si>
    <t>mAh par cycle</t>
  </si>
  <si>
    <t>Batterie</t>
  </si>
  <si>
    <t>Nombre de cycles</t>
  </si>
  <si>
    <t>Nombre de jours</t>
  </si>
  <si>
    <t>Puissance consommée par jour</t>
  </si>
  <si>
    <t>mAh par jour</t>
  </si>
  <si>
    <t>Voltage nominal</t>
  </si>
  <si>
    <t>V</t>
  </si>
  <si>
    <t>mWh</t>
  </si>
  <si>
    <t>Avec pertes et rendement</t>
  </si>
  <si>
    <t>mW par jour</t>
  </si>
  <si>
    <t>Puissance Panneau nécessaire</t>
  </si>
  <si>
    <t>Donc un panneau de 2W est suffisant, probablement trop même</t>
  </si>
  <si>
    <t>Transmission du paquet JSON à 14 dBm</t>
  </si>
  <si>
    <t>heltec_deep_sleep() éteint la radio et Vext (SCD41 hors tension)</t>
  </si>
  <si>
    <t>Le SCD41 effectue la mesure (pic de courant pendant l'échantillonnage)</t>
  </si>
  <si>
    <t>Activation de heltec_ve(true) pour alimenter le capteur via Vext</t>
  </si>
  <si>
    <t>heltec_setup() et initialisation du port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</si>
</sst>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G21"/>
  <sheetViews>
    <sheetView tabSelected="1" topLeftCell="A4" workbookViewId="0">
      <selection activeCell="G11" sqref="G11"/>
    </sheetView>
  </sheetViews>
  <sheetFormatPr baseColWidth="10" defaultColWidth="12.6640625" defaultRowHeight="15.75" customHeight="1" x14ac:dyDescent="0.25"/>
  <cols>
    <col min="2" max="2" width="19.109375" bestFit="1" customWidth="1"/>
    <col min="3" max="3" width="8" bestFit="1" customWidth="1"/>
    <col min="4" max="4" width="15.77734375" style="4" customWidth="1"/>
    <col min="5" max="5" width="13.44140625" bestFit="1" customWidth="1"/>
    <col min="6" max="6" width="14.88671875" bestFit="1" customWidth="1"/>
    <col min="7" max="7" width="60.88671875" bestFit="1" customWidth="1"/>
  </cols>
  <sheetData>
    <row r="3" spans="2:7" x14ac:dyDescent="0.25">
      <c r="B3" s="1" t="s">
        <v>0</v>
      </c>
      <c r="C3" s="1" t="s">
        <v>1</v>
      </c>
      <c r="D3" s="5" t="s">
        <v>2</v>
      </c>
      <c r="E3" s="1" t="s">
        <v>3</v>
      </c>
      <c r="F3" s="2" t="s">
        <v>16</v>
      </c>
      <c r="G3" s="1" t="s">
        <v>4</v>
      </c>
    </row>
    <row r="4" spans="2:7" x14ac:dyDescent="0.25">
      <c r="B4" s="1" t="s">
        <v>5</v>
      </c>
      <c r="C4" s="3">
        <v>1</v>
      </c>
      <c r="D4" s="6" t="s">
        <v>6</v>
      </c>
      <c r="E4" s="3">
        <v>70</v>
      </c>
      <c r="F4" s="7">
        <f>(E4*C4)/3600</f>
        <v>1.9444444444444445E-2</v>
      </c>
      <c r="G4" s="1" t="s">
        <v>34</v>
      </c>
    </row>
    <row r="5" spans="2:7" x14ac:dyDescent="0.25">
      <c r="B5" s="1" t="s">
        <v>7</v>
      </c>
      <c r="C5" s="3">
        <v>1</v>
      </c>
      <c r="D5" s="6" t="s">
        <v>8</v>
      </c>
      <c r="E5" s="3">
        <v>85</v>
      </c>
      <c r="F5" s="7">
        <f t="shared" ref="F5:F8" si="0">(E5*C5)/3600</f>
        <v>2.361111111111111E-2</v>
      </c>
      <c r="G5" s="1" t="s">
        <v>33</v>
      </c>
    </row>
    <row r="6" spans="2:7" x14ac:dyDescent="0.25">
      <c r="B6" s="1" t="s">
        <v>9</v>
      </c>
      <c r="C6" s="3">
        <v>5</v>
      </c>
      <c r="D6" s="6" t="s">
        <v>8</v>
      </c>
      <c r="E6" s="3">
        <v>95</v>
      </c>
      <c r="F6" s="7">
        <f t="shared" si="0"/>
        <v>0.13194444444444445</v>
      </c>
      <c r="G6" s="1" t="s">
        <v>32</v>
      </c>
    </row>
    <row r="7" spans="2:7" x14ac:dyDescent="0.25">
      <c r="B7" s="1" t="s">
        <v>10</v>
      </c>
      <c r="C7" s="3">
        <v>0.1</v>
      </c>
      <c r="D7" s="6" t="s">
        <v>11</v>
      </c>
      <c r="E7" s="3">
        <v>120</v>
      </c>
      <c r="F7" s="7">
        <f t="shared" si="0"/>
        <v>3.3333333333333335E-3</v>
      </c>
      <c r="G7" s="1" t="s">
        <v>30</v>
      </c>
    </row>
    <row r="8" spans="2:7" x14ac:dyDescent="0.25">
      <c r="B8" s="1" t="s">
        <v>12</v>
      </c>
      <c r="C8" s="3">
        <v>3593</v>
      </c>
      <c r="D8" s="6" t="s">
        <v>13</v>
      </c>
      <c r="E8" s="3">
        <v>1.4999999999999999E-2</v>
      </c>
      <c r="F8" s="7">
        <f t="shared" si="0"/>
        <v>1.4970833333333333E-2</v>
      </c>
      <c r="G8" s="1" t="s">
        <v>31</v>
      </c>
    </row>
    <row r="10" spans="2:7" ht="15.75" customHeight="1" x14ac:dyDescent="0.25">
      <c r="D10" s="5" t="s">
        <v>14</v>
      </c>
      <c r="E10">
        <f>SUM(F4:F8)</f>
        <v>0.19330416666666664</v>
      </c>
      <c r="F10" s="1" t="s">
        <v>17</v>
      </c>
    </row>
    <row r="11" spans="2:7" ht="15.75" customHeight="1" x14ac:dyDescent="0.25">
      <c r="E11">
        <f>E10*24</f>
        <v>4.6392999999999995</v>
      </c>
      <c r="F11" s="1" t="s">
        <v>22</v>
      </c>
    </row>
    <row r="12" spans="2:7" ht="15.75" customHeight="1" x14ac:dyDescent="0.25">
      <c r="F12" s="1"/>
    </row>
    <row r="13" spans="2:7" ht="15.75" customHeight="1" x14ac:dyDescent="0.25">
      <c r="D13" s="4" t="s">
        <v>23</v>
      </c>
      <c r="E13">
        <v>3.7</v>
      </c>
      <c r="F13" t="s">
        <v>24</v>
      </c>
    </row>
    <row r="14" spans="2:7" ht="15.75" customHeight="1" x14ac:dyDescent="0.25">
      <c r="D14" s="4" t="s">
        <v>18</v>
      </c>
      <c r="E14">
        <v>3350</v>
      </c>
      <c r="F14" s="1" t="s">
        <v>15</v>
      </c>
    </row>
    <row r="15" spans="2:7" ht="15.75" customHeight="1" x14ac:dyDescent="0.25">
      <c r="D15" s="4" t="s">
        <v>19</v>
      </c>
      <c r="E15">
        <f>E14/E10</f>
        <v>17330.200676826247</v>
      </c>
    </row>
    <row r="16" spans="2:7" ht="15.75" customHeight="1" x14ac:dyDescent="0.25">
      <c r="D16" s="4" t="s">
        <v>20</v>
      </c>
      <c r="E16">
        <f>E15/24</f>
        <v>722.09169486776034</v>
      </c>
    </row>
    <row r="17" spans="2:7" ht="13.2" customHeight="1" x14ac:dyDescent="0.25"/>
    <row r="18" spans="2:7" ht="13.2" x14ac:dyDescent="0.25">
      <c r="B18" s="8" t="s">
        <v>21</v>
      </c>
      <c r="C18" s="8"/>
      <c r="D18" s="8"/>
      <c r="E18">
        <f>E11*E13</f>
        <v>17.165409999999998</v>
      </c>
      <c r="F18" t="s">
        <v>25</v>
      </c>
    </row>
    <row r="19" spans="2:7" ht="15.75" customHeight="1" x14ac:dyDescent="0.25">
      <c r="B19" s="10" t="s">
        <v>26</v>
      </c>
      <c r="C19" s="10"/>
      <c r="D19" s="10"/>
      <c r="E19">
        <f>E18*1.7</f>
        <v>29.181196999999994</v>
      </c>
      <c r="F19" t="s">
        <v>25</v>
      </c>
    </row>
    <row r="21" spans="2:7" ht="15.75" customHeight="1" x14ac:dyDescent="0.25">
      <c r="B21" s="9" t="s">
        <v>28</v>
      </c>
      <c r="C21" s="9"/>
      <c r="D21" s="9"/>
      <c r="E21">
        <f>E19/2</f>
        <v>14.590598499999997</v>
      </c>
      <c r="F21" t="s">
        <v>27</v>
      </c>
      <c r="G21" t="s">
        <v>29</v>
      </c>
    </row>
  </sheetData>
  <mergeCells count="3">
    <mergeCell ref="B18:D18"/>
    <mergeCell ref="B19:D19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Analyse consommation énergie 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poulin</dc:creator>
  <cp:lastModifiedBy>Clément Poulin</cp:lastModifiedBy>
  <dcterms:created xsi:type="dcterms:W3CDTF">2026-04-09T17:52:42Z</dcterms:created>
  <dcterms:modified xsi:type="dcterms:W3CDTF">2026-04-10T16:35:58Z</dcterms:modified>
</cp:coreProperties>
</file>